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CTS\Coaching\"/>
    </mc:Choice>
  </mc:AlternateContent>
  <bookViews>
    <workbookView xWindow="0" yWindow="0" windowWidth="27870" windowHeight="148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4" i="1" l="1"/>
  <c r="O5" i="1"/>
  <c r="O4" i="1"/>
  <c r="K83" i="1" s="1"/>
  <c r="G4" i="1"/>
  <c r="G8" i="1" s="1"/>
  <c r="G10" i="1" s="1"/>
  <c r="G11" i="1" s="1"/>
  <c r="G13" i="1" s="1"/>
  <c r="G14" i="1" s="1"/>
  <c r="G15" i="1" s="1"/>
  <c r="G17" i="1" s="1"/>
  <c r="G20" i="1" s="1"/>
  <c r="G22" i="1" s="1"/>
  <c r="G23" i="1" s="1"/>
  <c r="G24" i="1" s="1"/>
  <c r="G25" i="1" s="1"/>
  <c r="G26" i="1" s="1"/>
  <c r="G30" i="1" s="1"/>
  <c r="G31" i="1" s="1"/>
  <c r="G33" i="1" s="1"/>
  <c r="G35" i="1" s="1"/>
  <c r="G36" i="1" s="1"/>
  <c r="G38" i="1" s="1"/>
  <c r="G41" i="1" s="1"/>
  <c r="G42" i="1" s="1"/>
  <c r="G44" i="1" s="1"/>
  <c r="G48" i="1" s="1"/>
  <c r="G49" i="1" s="1"/>
  <c r="G53" i="1" s="1"/>
  <c r="G55" i="1" s="1"/>
  <c r="G59" i="1" s="1"/>
  <c r="G60" i="1" s="1"/>
  <c r="G61" i="1" s="1"/>
  <c r="G62" i="1" s="1"/>
  <c r="G63" i="1" s="1"/>
  <c r="G67" i="1" s="1"/>
  <c r="G68" i="1" s="1"/>
  <c r="G69" i="1" s="1"/>
  <c r="G72" i="1" s="1"/>
  <c r="K76" i="1" l="1"/>
  <c r="K80" i="1"/>
  <c r="K77" i="1"/>
  <c r="K81" i="1"/>
  <c r="K78" i="1"/>
  <c r="K82" i="1"/>
  <c r="K79" i="1"/>
  <c r="K75" i="1" l="1"/>
</calcChain>
</file>

<file path=xl/sharedStrings.xml><?xml version="1.0" encoding="utf-8"?>
<sst xmlns="http://schemas.openxmlformats.org/spreadsheetml/2006/main" count="288" uniqueCount="109">
  <si>
    <t>Entry Date</t>
  </si>
  <si>
    <t xml:space="preserve">Sprint </t>
  </si>
  <si>
    <t>Week</t>
  </si>
  <si>
    <t>Objective</t>
  </si>
  <si>
    <t>Control</t>
  </si>
  <si>
    <t>Topic</t>
  </si>
  <si>
    <t>Day</t>
  </si>
  <si>
    <t>Date</t>
  </si>
  <si>
    <t>Detail</t>
  </si>
  <si>
    <t>Type</t>
  </si>
  <si>
    <t>Duration (h)</t>
  </si>
  <si>
    <t>Ref.</t>
  </si>
  <si>
    <t>Description</t>
  </si>
  <si>
    <t>Trainer</t>
  </si>
  <si>
    <t>Hours</t>
  </si>
  <si>
    <t>Basics</t>
  </si>
  <si>
    <t>Tools &amp; Libraries</t>
  </si>
  <si>
    <t>AM</t>
  </si>
  <si>
    <t xml:space="preserve">MyELCA introduction I - MyELCA </t>
  </si>
  <si>
    <t>Formal training</t>
  </si>
  <si>
    <t>C-N-02</t>
  </si>
  <si>
    <t>LAT</t>
  </si>
  <si>
    <t>MyELCA introduction II - QHB Introduction</t>
  </si>
  <si>
    <t>C-N-04.1</t>
  </si>
  <si>
    <t>QHD</t>
  </si>
  <si>
    <t>PM</t>
  </si>
  <si>
    <t>On-boarding program introduction</t>
  </si>
  <si>
    <t>Introdution</t>
  </si>
  <si>
    <t>Introduction from coach</t>
  </si>
  <si>
    <t>Coach</t>
  </si>
  <si>
    <t>Setup environment - Maven</t>
  </si>
  <si>
    <t>Self training</t>
  </si>
  <si>
    <t>R1</t>
  </si>
  <si>
    <t>Eclipse Debugging</t>
  </si>
  <si>
    <t>E-T-26</t>
  </si>
  <si>
    <t>JAVA</t>
  </si>
  <si>
    <t>E-T-65</t>
  </si>
  <si>
    <t>Read JAVA-1.0.doc</t>
  </si>
  <si>
    <t>JAVA checkpoint</t>
  </si>
  <si>
    <t>Q&amp;A</t>
  </si>
  <si>
    <t>Check the fundamental programing and the differences among collections</t>
  </si>
  <si>
    <t>Buffer for necessary training (JIRA, My ELCA)</t>
  </si>
  <si>
    <t>Buffer</t>
  </si>
  <si>
    <r>
      <t>Exercises</t>
    </r>
    <r>
      <rPr>
        <sz val="12"/>
        <color theme="1"/>
        <rFont val="Calibri"/>
        <family val="2"/>
        <scheme val="minor"/>
      </rPr>
      <t xml:space="preserve">
</t>
    </r>
  </si>
  <si>
    <t>JAVA-Exercise</t>
  </si>
  <si>
    <t>Practice</t>
  </si>
  <si>
    <t>Check &amp; explain on Maven, Eclipse, JAVA - Exercise</t>
  </si>
  <si>
    <t>Coding convention</t>
  </si>
  <si>
    <t>Read SunCodeConventions.pdf</t>
  </si>
  <si>
    <t>E-T-06</t>
  </si>
  <si>
    <t>Check &amp; explain about Spring core</t>
  </si>
  <si>
    <t>UI design &amp; Testing</t>
  </si>
  <si>
    <t>Check &amp; explain Spring MVC, Coding convention</t>
  </si>
  <si>
    <t xml:space="preserve">Introduce exercise context for:
BKH - Concepts (Topic: Multi-tiers, Multilingual)
BKH - Programming (Topic: Exception handling &amp; Design patterns, OOP)
</t>
  </si>
  <si>
    <t>To give the trainee the context / scope before doing the exercise</t>
  </si>
  <si>
    <t>Multi-tiers, Multilingual - Exercises</t>
  </si>
  <si>
    <t>EB1</t>
  </si>
  <si>
    <t>OOP  &amp; Design patterns &amp; Exception handling - Exercises</t>
  </si>
  <si>
    <t>Powerpoint version</t>
  </si>
  <si>
    <t>Check &amp; explain BKH</t>
  </si>
  <si>
    <t>E-T-12</t>
  </si>
  <si>
    <t>CSS self-training point 1,2,4,6,8,9,14 with the exercises inside each topic mention in the link.</t>
  </si>
  <si>
    <t>E-T-11</t>
  </si>
  <si>
    <t>JS self-training point 1, 2, 3, 4, 6, 7</t>
  </si>
  <si>
    <t>UI Implementation</t>
  </si>
  <si>
    <t>Check JS</t>
  </si>
  <si>
    <t>Coding best practices (for Web)</t>
  </si>
  <si>
    <t>Reading</t>
  </si>
  <si>
    <t>- JS:
o General programming: 2101 , 2102, 2104, 2105.
o Optimization: 2203.
o Language specialties: 2301, 2302, 2303, 2309.
o Security: 2401.
- HTML: 3001.
- CSS: 4001.</t>
  </si>
  <si>
    <t>APL</t>
  </si>
  <si>
    <t>Check out code from SVN, JIRA assignment</t>
  </si>
  <si>
    <t>Screen Live Test</t>
  </si>
  <si>
    <t xml:space="preserve">Introduction exercise context for:
BKH - Concepts (Topic: Surrogate key &amp; Concurrent update, Application security)
</t>
  </si>
  <si>
    <t>Application security - Exercises</t>
  </si>
  <si>
    <t>Service Desgin &amp; Testing</t>
  </si>
  <si>
    <t>Surrogate key &amp; Concurrent update - Exercises</t>
  </si>
  <si>
    <t>Unit testing in JAVA - Exercise</t>
  </si>
  <si>
    <t>EB4</t>
  </si>
  <si>
    <t>SQL - Exercise</t>
  </si>
  <si>
    <t>EB2</t>
  </si>
  <si>
    <t>Word version</t>
  </si>
  <si>
    <t>Check &amp; explain BKH, Unit test, SQL</t>
  </si>
  <si>
    <t>Service implementation</t>
  </si>
  <si>
    <t>Coding best practices (formal)</t>
  </si>
  <si>
    <t>Final Q&amp;A</t>
  </si>
  <si>
    <t>Review &amp; check + Code Inspection</t>
  </si>
  <si>
    <t>Total hours</t>
  </si>
  <si>
    <t>Trainer efforts</t>
  </si>
  <si>
    <t>PHD</t>
  </si>
  <si>
    <t>QAN</t>
  </si>
  <si>
    <t>HR</t>
  </si>
  <si>
    <t>NTA</t>
  </si>
  <si>
    <t>QM</t>
  </si>
  <si>
    <t>ATN</t>
  </si>
  <si>
    <t>DHN</t>
  </si>
  <si>
    <t xml:space="preserve"> </t>
  </si>
  <si>
    <t>QRV on-boarding schedule</t>
  </si>
  <si>
    <t>ReactJS</t>
  </si>
  <si>
    <t>HTML5</t>
  </si>
  <si>
    <t>CSS3</t>
  </si>
  <si>
    <t>Javascript</t>
  </si>
  <si>
    <t>HTML self-training</t>
  </si>
  <si>
    <t>Frontend + Project
WallBoard</t>
  </si>
  <si>
    <t>Backend + Project
WallBoard</t>
  </si>
  <si>
    <t>Project WallBoard - Setup &amp; Requirement clarification</t>
  </si>
  <si>
    <t>Project WallBoard - Implementation</t>
  </si>
  <si>
    <t>Project WallBoard - Correction after Q&amp;A</t>
  </si>
  <si>
    <t>Project WallBoard - Screen Live Test &amp; Correction</t>
  </si>
  <si>
    <t>Project WallBoard - Correction after QHD's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</si>
</sst>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0" fillId="0" borderId="0" xfId="0" applyFont="1" applyAlignment="1">
      <alignment vertical="top"/>
    </xf>
    <xf numFmtId="0" fontId="0" fillId="0" borderId="2" xfId="0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3" fillId="0" borderId="4" xfId="0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center" vertical="top"/>
    </xf>
    <xf numFmtId="0" fontId="3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14" fontId="4" fillId="0" borderId="6" xfId="0" applyNumberFormat="1" applyFont="1" applyBorder="1" applyAlignment="1">
      <alignment horizontal="center" vertical="top"/>
    </xf>
    <xf numFmtId="0" fontId="3" fillId="0" borderId="5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3" fillId="0" borderId="8" xfId="0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14" fontId="4" fillId="0" borderId="9" xfId="0" applyNumberFormat="1" applyFont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0" borderId="2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14" fontId="4" fillId="0" borderId="11" xfId="0" applyNumberFormat="1" applyFont="1" applyBorder="1" applyAlignment="1">
      <alignment horizontal="center" vertical="top"/>
    </xf>
    <xf numFmtId="0" fontId="3" fillId="0" borderId="11" xfId="0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14" fontId="4" fillId="0" borderId="2" xfId="0" applyNumberFormat="1" applyFont="1" applyBorder="1" applyAlignment="1">
      <alignment horizontal="center" vertical="top"/>
    </xf>
    <xf numFmtId="0" fontId="3" fillId="0" borderId="2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vertical="top"/>
    </xf>
    <xf numFmtId="0" fontId="3" fillId="0" borderId="10" xfId="0" applyFont="1" applyFill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/>
    </xf>
    <xf numFmtId="14" fontId="4" fillId="0" borderId="2" xfId="0" applyNumberFormat="1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vertical="top"/>
    </xf>
    <xf numFmtId="0" fontId="3" fillId="0" borderId="12" xfId="0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3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/>
    </xf>
    <xf numFmtId="14" fontId="4" fillId="0" borderId="13" xfId="0" applyNumberFormat="1" applyFont="1" applyBorder="1" applyAlignment="1">
      <alignment horizontal="center" vertical="top"/>
    </xf>
    <xf numFmtId="14" fontId="3" fillId="0" borderId="13" xfId="0" applyNumberFormat="1" applyFont="1" applyBorder="1" applyAlignment="1">
      <alignment horizontal="center" vertical="top"/>
    </xf>
    <xf numFmtId="0" fontId="6" fillId="4" borderId="13" xfId="0" applyFont="1" applyFill="1" applyBorder="1" applyAlignment="1">
      <alignment vertical="top"/>
    </xf>
    <xf numFmtId="0" fontId="3" fillId="4" borderId="13" xfId="0" applyFont="1" applyFill="1" applyBorder="1" applyAlignment="1">
      <alignment vertical="top"/>
    </xf>
    <xf numFmtId="0" fontId="3" fillId="4" borderId="14" xfId="0" applyFont="1" applyFill="1" applyBorder="1" applyAlignment="1">
      <alignment vertical="top"/>
    </xf>
    <xf numFmtId="0" fontId="3" fillId="0" borderId="6" xfId="0" applyFont="1" applyBorder="1" applyAlignment="1">
      <alignment horizontal="right" vertical="top"/>
    </xf>
    <xf numFmtId="14" fontId="3" fillId="0" borderId="9" xfId="0" applyNumberFormat="1" applyFont="1" applyBorder="1" applyAlignment="1">
      <alignment horizontal="center" vertical="top"/>
    </xf>
    <xf numFmtId="0" fontId="3" fillId="0" borderId="11" xfId="0" applyFont="1" applyBorder="1" applyAlignment="1">
      <alignment vertical="top"/>
    </xf>
    <xf numFmtId="0" fontId="3" fillId="0" borderId="9" xfId="0" applyFont="1" applyFill="1" applyBorder="1" applyAlignment="1">
      <alignment vertical="top"/>
    </xf>
    <xf numFmtId="0" fontId="3" fillId="0" borderId="15" xfId="0" applyFont="1" applyBorder="1" applyAlignment="1">
      <alignment vertical="top"/>
    </xf>
    <xf numFmtId="0" fontId="3" fillId="0" borderId="16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11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/>
    </xf>
    <xf numFmtId="14" fontId="3" fillId="0" borderId="2" xfId="0" applyNumberFormat="1" applyFont="1" applyBorder="1" applyAlignment="1">
      <alignment horizontal="center" vertical="top"/>
    </xf>
    <xf numFmtId="14" fontId="3" fillId="0" borderId="2" xfId="0" applyNumberFormat="1" applyFont="1" applyBorder="1" applyAlignment="1">
      <alignment horizontal="left" vertical="top"/>
    </xf>
    <xf numFmtId="0" fontId="3" fillId="0" borderId="2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14" fontId="3" fillId="0" borderId="11" xfId="0" applyNumberFormat="1" applyFont="1" applyBorder="1" applyAlignment="1">
      <alignment horizontal="center" vertical="top"/>
    </xf>
    <xf numFmtId="0" fontId="6" fillId="0" borderId="11" xfId="0" applyFont="1" applyBorder="1" applyAlignment="1">
      <alignment vertical="top"/>
    </xf>
    <xf numFmtId="0" fontId="6" fillId="0" borderId="1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/>
    </xf>
    <xf numFmtId="0" fontId="3" fillId="0" borderId="13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right" vertical="top"/>
    </xf>
    <xf numFmtId="14" fontId="4" fillId="0" borderId="9" xfId="0" applyNumberFormat="1" applyFont="1" applyBorder="1" applyAlignment="1">
      <alignment horizontal="center" vertical="top"/>
    </xf>
    <xf numFmtId="0" fontId="3" fillId="0" borderId="9" xfId="0" applyFont="1" applyFill="1" applyBorder="1" applyAlignment="1">
      <alignment horizontal="left" vertical="top"/>
    </xf>
    <xf numFmtId="0" fontId="3" fillId="0" borderId="16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1" xfId="0" applyFont="1" applyBorder="1" applyAlignment="1">
      <alignment horizontal="center" vertical="top"/>
    </xf>
    <xf numFmtId="0" fontId="3" fillId="0" borderId="9" xfId="0" applyFont="1" applyBorder="1" applyAlignment="1">
      <alignment horizontal="right" vertical="top"/>
    </xf>
    <xf numFmtId="0" fontId="3" fillId="0" borderId="2" xfId="0" applyFont="1" applyBorder="1" applyAlignment="1">
      <alignment horizontal="center" vertical="top"/>
    </xf>
    <xf numFmtId="0" fontId="3" fillId="3" borderId="18" xfId="0" applyFont="1" applyFill="1" applyBorder="1" applyAlignment="1">
      <alignment vertical="top"/>
    </xf>
    <xf numFmtId="0" fontId="3" fillId="0" borderId="9" xfId="0" applyFont="1" applyFill="1" applyBorder="1" applyAlignment="1">
      <alignment horizontal="center" vertical="top" wrapText="1"/>
    </xf>
    <xf numFmtId="0" fontId="3" fillId="3" borderId="11" xfId="0" applyFont="1" applyFill="1" applyBorder="1" applyAlignment="1">
      <alignment vertical="top" wrapText="1"/>
    </xf>
    <xf numFmtId="0" fontId="3" fillId="3" borderId="11" xfId="0" applyFont="1" applyFill="1" applyBorder="1" applyAlignment="1">
      <alignment vertical="top"/>
    </xf>
    <xf numFmtId="0" fontId="6" fillId="3" borderId="11" xfId="0" applyFont="1" applyFill="1" applyBorder="1" applyAlignment="1">
      <alignment vertical="top" wrapText="1"/>
    </xf>
    <xf numFmtId="0" fontId="3" fillId="3" borderId="15" xfId="0" applyFont="1" applyFill="1" applyBorder="1" applyAlignment="1">
      <alignment vertical="top"/>
    </xf>
    <xf numFmtId="0" fontId="3" fillId="0" borderId="1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14" fontId="4" fillId="0" borderId="1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3" fillId="0" borderId="8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/>
    </xf>
    <xf numFmtId="0" fontId="3" fillId="3" borderId="9" xfId="0" applyFont="1" applyFill="1" applyBorder="1" applyAlignment="1">
      <alignment vertical="top" wrapText="1"/>
    </xf>
    <xf numFmtId="0" fontId="3" fillId="0" borderId="1" xfId="0" quotePrefix="1" applyFont="1" applyBorder="1" applyAlignment="1">
      <alignment vertical="top" wrapText="1"/>
    </xf>
    <xf numFmtId="0" fontId="6" fillId="0" borderId="1" xfId="0" applyFont="1" applyFill="1" applyBorder="1" applyAlignment="1">
      <alignment vertical="top"/>
    </xf>
    <xf numFmtId="0" fontId="4" fillId="0" borderId="9" xfId="0" applyFont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/>
    </xf>
    <xf numFmtId="0" fontId="6" fillId="0" borderId="1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3" fillId="0" borderId="19" xfId="0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13" xfId="0" applyFont="1" applyBorder="1" applyAlignment="1">
      <alignment horizontal="left" vertical="top"/>
    </xf>
    <xf numFmtId="0" fontId="3" fillId="0" borderId="13" xfId="0" applyFont="1" applyBorder="1" applyAlignment="1">
      <alignment horizontal="center" vertical="top"/>
    </xf>
    <xf numFmtId="0" fontId="4" fillId="0" borderId="13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right" vertical="top"/>
    </xf>
    <xf numFmtId="0" fontId="3" fillId="0" borderId="6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/>
    </xf>
    <xf numFmtId="0" fontId="6" fillId="5" borderId="1" xfId="0" applyFont="1" applyFill="1" applyBorder="1" applyAlignment="1">
      <alignment vertical="top"/>
    </xf>
    <xf numFmtId="0" fontId="6" fillId="0" borderId="1" xfId="0" applyFont="1" applyBorder="1" applyAlignment="1">
      <alignment vertical="top" wrapText="1"/>
    </xf>
    <xf numFmtId="14" fontId="4" fillId="0" borderId="6" xfId="0" applyNumberFormat="1" applyFont="1" applyBorder="1" applyAlignment="1">
      <alignment horizontal="center" vertical="top"/>
    </xf>
    <xf numFmtId="0" fontId="6" fillId="0" borderId="6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/>
    </xf>
    <xf numFmtId="0" fontId="0" fillId="0" borderId="0" xfId="0" applyBorder="1" applyAlignment="1">
      <alignment vertical="top"/>
    </xf>
    <xf numFmtId="0" fontId="1" fillId="0" borderId="0" xfId="0" applyFont="1" applyBorder="1" applyAlignment="1">
      <alignment vertical="top"/>
    </xf>
    <xf numFmtId="1" fontId="1" fillId="0" borderId="0" xfId="0" applyNumberFormat="1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1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indent="3"/>
    </xf>
    <xf numFmtId="0" fontId="1" fillId="0" borderId="2" xfId="0" applyFont="1" applyBorder="1" applyAlignment="1">
      <alignment horizontal="left" vertical="top" indent="3"/>
    </xf>
    <xf numFmtId="0" fontId="1" fillId="0" borderId="1" xfId="0" applyFont="1" applyBorder="1" applyAlignment="1">
      <alignment horizontal="left" vertical="top" indent="3"/>
    </xf>
    <xf numFmtId="0" fontId="3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4" fontId="7" fillId="0" borderId="2" xfId="0" applyNumberFormat="1" applyFont="1" applyBorder="1" applyAlignment="1">
      <alignment horizontal="center" vertical="top"/>
    </xf>
    <xf numFmtId="14" fontId="7" fillId="0" borderId="9" xfId="0" applyNumberFormat="1" applyFont="1" applyBorder="1" applyAlignment="1">
      <alignment horizontal="center" vertical="top"/>
    </xf>
    <xf numFmtId="0" fontId="7" fillId="0" borderId="1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5"/>
  <sheetViews>
    <sheetView tabSelected="1" workbookViewId="0">
      <selection activeCell="K20" sqref="K20"/>
    </sheetView>
  </sheetViews>
  <sheetFormatPr defaultColWidth="9.140625" defaultRowHeight="15" x14ac:dyDescent="0.25"/>
  <cols>
    <col min="1" max="1" width="6.7109375" style="5" bestFit="1" customWidth="1"/>
    <col min="2" max="2" width="6.28515625" style="5" bestFit="1" customWidth="1"/>
    <col min="3" max="3" width="11" style="5" customWidth="1"/>
    <col min="4" max="4" width="9.7109375" style="5" bestFit="1" customWidth="1"/>
    <col min="5" max="5" width="18.28515625" style="5" customWidth="1"/>
    <col min="6" max="6" width="8" style="5" hidden="1" customWidth="1"/>
    <col min="7" max="7" width="13.28515625" style="5" customWidth="1"/>
    <col min="8" max="8" width="4.140625" style="5" customWidth="1"/>
    <col min="9" max="9" width="82.85546875" style="5" bestFit="1" customWidth="1"/>
    <col min="10" max="10" width="18.42578125" style="5" bestFit="1" customWidth="1"/>
    <col min="11" max="11" width="14.42578125" style="5" customWidth="1"/>
    <col min="12" max="12" width="12.140625" style="5" customWidth="1"/>
    <col min="13" max="13" width="45.42578125" style="5" customWidth="1"/>
    <col min="14" max="14" width="15.140625" style="6" customWidth="1"/>
    <col min="15" max="15" width="9.140625" style="6"/>
    <col min="16" max="16" width="11.140625" style="5" bestFit="1" customWidth="1"/>
    <col min="17" max="16384" width="9.140625" style="5"/>
  </cols>
  <sheetData>
    <row r="1" spans="1:15" ht="28.5" x14ac:dyDescent="0.25">
      <c r="A1" s="1"/>
      <c r="B1" s="2" t="s">
        <v>96</v>
      </c>
      <c r="C1" s="2"/>
      <c r="D1" s="2"/>
      <c r="E1" s="2"/>
      <c r="F1" s="2"/>
      <c r="G1" s="2"/>
      <c r="H1" s="2"/>
      <c r="I1" s="2"/>
      <c r="J1" s="3" t="s">
        <v>0</v>
      </c>
      <c r="K1" s="4">
        <v>43269</v>
      </c>
    </row>
    <row r="2" spans="1:15" ht="15" hidden="1" customHeight="1" x14ac:dyDescent="0.25">
      <c r="A2" s="7"/>
      <c r="B2" s="8"/>
      <c r="C2" s="8"/>
      <c r="D2" s="8"/>
      <c r="E2" s="8"/>
      <c r="F2" s="8"/>
      <c r="G2" s="8"/>
      <c r="H2" s="8"/>
      <c r="I2" s="8"/>
    </row>
    <row r="3" spans="1:15" s="10" customFormat="1" ht="15.75" thickBo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/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</row>
    <row r="4" spans="1:15" s="3" customFormat="1" ht="15.75" x14ac:dyDescent="0.25">
      <c r="A4" s="11">
        <v>1</v>
      </c>
      <c r="B4" s="12">
        <v>1</v>
      </c>
      <c r="C4" s="13" t="s">
        <v>15</v>
      </c>
      <c r="D4" s="14"/>
      <c r="E4" s="15" t="s">
        <v>16</v>
      </c>
      <c r="F4" s="12">
        <v>1</v>
      </c>
      <c r="G4" s="16">
        <f>$K$1</f>
        <v>43269</v>
      </c>
      <c r="H4" s="17" t="s">
        <v>17</v>
      </c>
      <c r="I4" s="18" t="s">
        <v>18</v>
      </c>
      <c r="J4" s="18" t="s">
        <v>19</v>
      </c>
      <c r="K4" s="18">
        <v>2</v>
      </c>
      <c r="L4" s="18" t="s">
        <v>20</v>
      </c>
      <c r="M4" s="19"/>
      <c r="N4" s="18" t="s">
        <v>21</v>
      </c>
      <c r="O4" s="20">
        <f>K4</f>
        <v>2</v>
      </c>
    </row>
    <row r="5" spans="1:15" s="3" customFormat="1" ht="15.75" x14ac:dyDescent="0.25">
      <c r="A5" s="21"/>
      <c r="B5" s="22"/>
      <c r="C5" s="23"/>
      <c r="D5" s="24"/>
      <c r="E5" s="25"/>
      <c r="F5" s="22"/>
      <c r="G5" s="26"/>
      <c r="H5" s="27"/>
      <c r="I5" s="28" t="s">
        <v>22</v>
      </c>
      <c r="J5" s="28" t="s">
        <v>19</v>
      </c>
      <c r="K5" s="28">
        <v>2</v>
      </c>
      <c r="L5" s="28" t="s">
        <v>23</v>
      </c>
      <c r="M5" s="29"/>
      <c r="N5" s="28" t="s">
        <v>24</v>
      </c>
      <c r="O5" s="30">
        <f>K5</f>
        <v>2</v>
      </c>
    </row>
    <row r="6" spans="1:15" s="3" customFormat="1" ht="15.75" x14ac:dyDescent="0.25">
      <c r="A6" s="21"/>
      <c r="B6" s="22"/>
      <c r="C6" s="23"/>
      <c r="D6" s="24"/>
      <c r="E6" s="25"/>
      <c r="F6" s="22"/>
      <c r="G6" s="26"/>
      <c r="H6" s="31" t="s">
        <v>25</v>
      </c>
      <c r="I6" s="28" t="s">
        <v>26</v>
      </c>
      <c r="J6" s="28" t="s">
        <v>27</v>
      </c>
      <c r="K6" s="28">
        <v>1</v>
      </c>
      <c r="L6" s="32"/>
      <c r="M6" s="28" t="s">
        <v>28</v>
      </c>
      <c r="N6" s="28" t="s">
        <v>29</v>
      </c>
      <c r="O6" s="30">
        <v>1</v>
      </c>
    </row>
    <row r="7" spans="1:15" s="3" customFormat="1" ht="15.75" x14ac:dyDescent="0.25">
      <c r="A7" s="21"/>
      <c r="B7" s="22"/>
      <c r="C7" s="23"/>
      <c r="D7" s="24"/>
      <c r="E7" s="25"/>
      <c r="F7" s="22"/>
      <c r="G7" s="33"/>
      <c r="H7" s="34"/>
      <c r="I7" s="35" t="s">
        <v>30</v>
      </c>
      <c r="J7" s="35" t="s">
        <v>31</v>
      </c>
      <c r="K7" s="35">
        <v>3</v>
      </c>
      <c r="L7" s="36" t="s">
        <v>32</v>
      </c>
      <c r="M7" s="35"/>
      <c r="N7" s="35"/>
      <c r="O7" s="37"/>
    </row>
    <row r="8" spans="1:15" ht="15.75" x14ac:dyDescent="0.25">
      <c r="A8" s="21"/>
      <c r="B8" s="22"/>
      <c r="C8" s="23"/>
      <c r="D8" s="24"/>
      <c r="E8" s="25"/>
      <c r="F8" s="22">
        <v>2</v>
      </c>
      <c r="G8" s="38">
        <f>G4+1</f>
        <v>43270</v>
      </c>
      <c r="H8" s="39" t="s">
        <v>17</v>
      </c>
      <c r="I8" s="40" t="s">
        <v>33</v>
      </c>
      <c r="J8" s="40" t="s">
        <v>31</v>
      </c>
      <c r="K8" s="40">
        <v>4</v>
      </c>
      <c r="L8" s="40" t="s">
        <v>34</v>
      </c>
      <c r="M8" s="40"/>
      <c r="N8" s="40"/>
      <c r="O8" s="41"/>
    </row>
    <row r="9" spans="1:15" ht="15.75" x14ac:dyDescent="0.25">
      <c r="A9" s="21"/>
      <c r="B9" s="22"/>
      <c r="C9" s="23"/>
      <c r="D9" s="24"/>
      <c r="E9" s="25"/>
      <c r="F9" s="22"/>
      <c r="G9" s="33"/>
      <c r="H9" s="39" t="s">
        <v>25</v>
      </c>
      <c r="I9" s="35" t="s">
        <v>35</v>
      </c>
      <c r="J9" s="35" t="s">
        <v>31</v>
      </c>
      <c r="K9" s="35">
        <v>4</v>
      </c>
      <c r="L9" s="35" t="s">
        <v>36</v>
      </c>
      <c r="M9" s="42" t="s">
        <v>37</v>
      </c>
      <c r="N9" s="35"/>
      <c r="O9" s="37"/>
    </row>
    <row r="10" spans="1:15" ht="15.75" customHeight="1" x14ac:dyDescent="0.25">
      <c r="A10" s="21"/>
      <c r="B10" s="22"/>
      <c r="C10" s="23"/>
      <c r="D10" s="24"/>
      <c r="E10" s="25"/>
      <c r="F10" s="43">
        <v>3</v>
      </c>
      <c r="G10" s="44">
        <f>G8+1</f>
        <v>43271</v>
      </c>
      <c r="H10" s="40"/>
      <c r="I10" s="35" t="s">
        <v>35</v>
      </c>
      <c r="J10" s="35" t="s">
        <v>31</v>
      </c>
      <c r="K10" s="35">
        <v>8</v>
      </c>
      <c r="L10" s="35" t="s">
        <v>36</v>
      </c>
      <c r="M10" s="42"/>
      <c r="N10" s="35"/>
      <c r="O10" s="37"/>
    </row>
    <row r="11" spans="1:15" ht="31.5" x14ac:dyDescent="0.25">
      <c r="A11" s="21"/>
      <c r="B11" s="22"/>
      <c r="C11" s="23"/>
      <c r="D11" s="24"/>
      <c r="E11" s="25"/>
      <c r="F11" s="43"/>
      <c r="G11" s="38">
        <f>G10+1</f>
        <v>43272</v>
      </c>
      <c r="H11" s="45" t="s">
        <v>17</v>
      </c>
      <c r="I11" s="46" t="s">
        <v>38</v>
      </c>
      <c r="J11" s="46" t="s">
        <v>39</v>
      </c>
      <c r="K11" s="46">
        <v>1</v>
      </c>
      <c r="L11" s="46"/>
      <c r="M11" s="47" t="s">
        <v>40</v>
      </c>
      <c r="N11" s="46" t="s">
        <v>29</v>
      </c>
      <c r="O11" s="48">
        <v>1</v>
      </c>
    </row>
    <row r="12" spans="1:15" ht="15.75" x14ac:dyDescent="0.25">
      <c r="A12" s="21"/>
      <c r="B12" s="22"/>
      <c r="C12" s="23"/>
      <c r="D12" s="24"/>
      <c r="E12" s="25"/>
      <c r="F12" s="43"/>
      <c r="G12" s="33"/>
      <c r="H12" s="40" t="s">
        <v>25</v>
      </c>
      <c r="I12" s="35" t="s">
        <v>35</v>
      </c>
      <c r="J12" s="35" t="s">
        <v>31</v>
      </c>
      <c r="K12" s="35">
        <v>7</v>
      </c>
      <c r="L12" s="35" t="s">
        <v>36</v>
      </c>
      <c r="N12" s="35"/>
      <c r="O12" s="37"/>
    </row>
    <row r="13" spans="1:15" ht="15.75" x14ac:dyDescent="0.25">
      <c r="A13" s="21"/>
      <c r="B13" s="22"/>
      <c r="C13" s="23"/>
      <c r="D13" s="24"/>
      <c r="E13" s="25"/>
      <c r="F13" s="43">
        <v>5</v>
      </c>
      <c r="G13" s="44">
        <f>G11+1</f>
        <v>43273</v>
      </c>
      <c r="H13" s="40"/>
      <c r="I13" s="35" t="s">
        <v>35</v>
      </c>
      <c r="J13" s="35" t="s">
        <v>31</v>
      </c>
      <c r="K13" s="35">
        <v>8</v>
      </c>
      <c r="L13" s="35" t="s">
        <v>36</v>
      </c>
      <c r="M13" s="35"/>
      <c r="N13" s="35"/>
      <c r="O13" s="37"/>
    </row>
    <row r="14" spans="1:15" ht="16.5" thickBot="1" x14ac:dyDescent="0.3">
      <c r="A14" s="49"/>
      <c r="B14" s="50"/>
      <c r="C14" s="23"/>
      <c r="D14" s="51"/>
      <c r="E14" s="52"/>
      <c r="F14" s="53"/>
      <c r="G14" s="54">
        <f>G13+1</f>
        <v>43274</v>
      </c>
      <c r="H14" s="55" t="s">
        <v>17</v>
      </c>
      <c r="I14" s="56" t="s">
        <v>41</v>
      </c>
      <c r="J14" s="57" t="s">
        <v>42</v>
      </c>
      <c r="K14" s="57">
        <v>0</v>
      </c>
      <c r="L14" s="57"/>
      <c r="M14" s="57"/>
      <c r="N14" s="57"/>
      <c r="O14" s="58"/>
    </row>
    <row r="15" spans="1:15" ht="15" customHeight="1" x14ac:dyDescent="0.25">
      <c r="A15" s="11">
        <v>1</v>
      </c>
      <c r="B15" s="12">
        <v>2</v>
      </c>
      <c r="C15" s="14"/>
      <c r="D15" s="13" t="s">
        <v>39</v>
      </c>
      <c r="E15" s="15" t="s">
        <v>43</v>
      </c>
      <c r="F15" s="59">
        <v>1</v>
      </c>
      <c r="G15" s="26">
        <f>G14+2</f>
        <v>43276</v>
      </c>
      <c r="H15" s="60" t="s">
        <v>17</v>
      </c>
      <c r="I15" s="61" t="s">
        <v>35</v>
      </c>
      <c r="J15" s="61" t="s">
        <v>31</v>
      </c>
      <c r="K15" s="62">
        <v>2</v>
      </c>
      <c r="L15" s="61" t="s">
        <v>36</v>
      </c>
      <c r="M15" s="62"/>
      <c r="N15" s="62"/>
      <c r="O15" s="63"/>
    </row>
    <row r="16" spans="1:15" ht="15" customHeight="1" x14ac:dyDescent="0.25">
      <c r="A16" s="64"/>
      <c r="B16" s="65"/>
      <c r="C16" s="66"/>
      <c r="D16" s="23"/>
      <c r="E16" s="67"/>
      <c r="F16" s="68"/>
      <c r="G16" s="33"/>
      <c r="H16" s="69" t="s">
        <v>25</v>
      </c>
      <c r="I16" s="70" t="s">
        <v>44</v>
      </c>
      <c r="J16" s="70" t="s">
        <v>45</v>
      </c>
      <c r="K16" s="71">
        <v>6</v>
      </c>
      <c r="L16" s="70" t="s">
        <v>36</v>
      </c>
      <c r="M16" s="70"/>
      <c r="N16" s="70"/>
      <c r="O16" s="37"/>
    </row>
    <row r="17" spans="1:15" ht="15" customHeight="1" x14ac:dyDescent="0.25">
      <c r="A17" s="64"/>
      <c r="B17" s="65"/>
      <c r="C17" s="66"/>
      <c r="D17" s="23"/>
      <c r="E17" s="67"/>
      <c r="F17" s="68"/>
      <c r="G17" s="38">
        <f>G15+1</f>
        <v>43277</v>
      </c>
      <c r="H17" s="69" t="s">
        <v>17</v>
      </c>
      <c r="I17" s="70" t="s">
        <v>44</v>
      </c>
      <c r="J17" s="70" t="s">
        <v>45</v>
      </c>
      <c r="K17" s="71">
        <v>4</v>
      </c>
      <c r="L17" s="70" t="s">
        <v>36</v>
      </c>
      <c r="M17" s="70"/>
      <c r="N17" s="70"/>
      <c r="O17" s="72"/>
    </row>
    <row r="18" spans="1:15" ht="31.5" x14ac:dyDescent="0.25">
      <c r="A18" s="64"/>
      <c r="B18" s="65"/>
      <c r="C18" s="66"/>
      <c r="D18" s="23"/>
      <c r="E18" s="67"/>
      <c r="F18" s="68"/>
      <c r="G18" s="26"/>
      <c r="H18" s="31" t="s">
        <v>25</v>
      </c>
      <c r="I18" s="46" t="s">
        <v>39</v>
      </c>
      <c r="J18" s="46" t="s">
        <v>39</v>
      </c>
      <c r="K18" s="46">
        <v>3</v>
      </c>
      <c r="L18" s="46"/>
      <c r="M18" s="47" t="s">
        <v>46</v>
      </c>
      <c r="N18" s="46" t="s">
        <v>29</v>
      </c>
      <c r="O18" s="48">
        <v>3</v>
      </c>
    </row>
    <row r="19" spans="1:15" ht="15" customHeight="1" x14ac:dyDescent="0.25">
      <c r="A19" s="64"/>
      <c r="B19" s="65"/>
      <c r="C19" s="66"/>
      <c r="D19" s="23"/>
      <c r="E19" s="67"/>
      <c r="F19" s="68"/>
      <c r="G19" s="33"/>
      <c r="H19" s="34"/>
      <c r="I19" s="40" t="s">
        <v>47</v>
      </c>
      <c r="J19" s="40" t="s">
        <v>31</v>
      </c>
      <c r="K19" s="40">
        <v>1</v>
      </c>
      <c r="L19" s="40"/>
      <c r="M19" s="40" t="s">
        <v>48</v>
      </c>
      <c r="N19" s="40"/>
      <c r="O19" s="41"/>
    </row>
    <row r="20" spans="1:15" ht="15" customHeight="1" x14ac:dyDescent="0.25">
      <c r="A20" s="64"/>
      <c r="B20" s="65"/>
      <c r="C20" s="66"/>
      <c r="D20" s="23"/>
      <c r="E20" s="67"/>
      <c r="F20" s="68"/>
      <c r="G20" s="26">
        <f>G17+1</f>
        <v>43278</v>
      </c>
      <c r="H20" s="73" t="s">
        <v>17</v>
      </c>
      <c r="I20" s="74" t="s">
        <v>100</v>
      </c>
      <c r="J20" s="61" t="s">
        <v>31</v>
      </c>
      <c r="K20" s="61">
        <v>7</v>
      </c>
      <c r="L20" s="61" t="s">
        <v>62</v>
      </c>
      <c r="M20" s="61" t="s">
        <v>63</v>
      </c>
      <c r="N20" s="61"/>
      <c r="O20" s="63"/>
    </row>
    <row r="21" spans="1:15" ht="15.75" x14ac:dyDescent="0.25">
      <c r="A21" s="64"/>
      <c r="B21" s="65"/>
      <c r="C21" s="66"/>
      <c r="D21" s="23"/>
      <c r="E21" s="67"/>
      <c r="F21" s="68"/>
      <c r="G21" s="33"/>
      <c r="H21" s="75" t="s">
        <v>25</v>
      </c>
      <c r="I21" s="76" t="s">
        <v>39</v>
      </c>
      <c r="J21" s="46" t="s">
        <v>39</v>
      </c>
      <c r="K21" s="46">
        <v>1</v>
      </c>
      <c r="L21" s="46" t="s">
        <v>49</v>
      </c>
      <c r="M21" s="46" t="s">
        <v>50</v>
      </c>
      <c r="N21" s="46" t="s">
        <v>29</v>
      </c>
      <c r="O21" s="48">
        <v>1</v>
      </c>
    </row>
    <row r="22" spans="1:15" ht="15.75" x14ac:dyDescent="0.25">
      <c r="A22" s="21"/>
      <c r="B22" s="22"/>
      <c r="C22" s="24"/>
      <c r="D22" s="23"/>
      <c r="E22" s="25"/>
      <c r="F22" s="53">
        <v>2</v>
      </c>
      <c r="G22" s="44">
        <f>G20+1</f>
        <v>43279</v>
      </c>
      <c r="H22" s="45" t="s">
        <v>25</v>
      </c>
      <c r="I22" s="36" t="s">
        <v>97</v>
      </c>
      <c r="J22" s="35" t="s">
        <v>31</v>
      </c>
      <c r="K22" s="35">
        <v>8</v>
      </c>
      <c r="L22" s="35" t="s">
        <v>49</v>
      </c>
      <c r="M22" s="35"/>
      <c r="N22" s="35"/>
      <c r="O22" s="37"/>
    </row>
    <row r="23" spans="1:15" ht="16.5" thickBot="1" x14ac:dyDescent="0.3">
      <c r="A23" s="21"/>
      <c r="B23" s="22"/>
      <c r="C23" s="24"/>
      <c r="D23" s="23"/>
      <c r="E23" s="25"/>
      <c r="F23" s="53">
        <v>3</v>
      </c>
      <c r="G23" s="44">
        <f>G22+1</f>
        <v>43280</v>
      </c>
      <c r="H23" s="77" t="s">
        <v>17</v>
      </c>
      <c r="I23" s="36" t="s">
        <v>97</v>
      </c>
      <c r="J23" s="35" t="s">
        <v>31</v>
      </c>
      <c r="K23" s="35">
        <v>8</v>
      </c>
      <c r="L23" s="35" t="s">
        <v>49</v>
      </c>
      <c r="M23" s="35"/>
      <c r="N23" s="35"/>
      <c r="O23" s="37"/>
    </row>
    <row r="24" spans="1:15" ht="16.5" thickBot="1" x14ac:dyDescent="0.3">
      <c r="A24" s="21"/>
      <c r="B24" s="22"/>
      <c r="C24" s="24"/>
      <c r="D24" s="23"/>
      <c r="E24" s="25"/>
      <c r="F24" s="53">
        <v>4</v>
      </c>
      <c r="G24" s="54">
        <f>G23+1</f>
        <v>43281</v>
      </c>
      <c r="H24" s="77" t="s">
        <v>17</v>
      </c>
      <c r="I24" s="56" t="s">
        <v>41</v>
      </c>
      <c r="J24" s="57"/>
      <c r="K24" s="57">
        <v>0</v>
      </c>
      <c r="L24" s="57"/>
      <c r="M24" s="57"/>
      <c r="N24" s="57"/>
      <c r="O24" s="58"/>
    </row>
    <row r="25" spans="1:15" ht="15.75" x14ac:dyDescent="0.25">
      <c r="A25" s="78">
        <v>2</v>
      </c>
      <c r="B25" s="79">
        <v>3</v>
      </c>
      <c r="C25" s="140" t="s">
        <v>102</v>
      </c>
      <c r="D25" s="14"/>
      <c r="E25" s="15" t="s">
        <v>51</v>
      </c>
      <c r="F25" s="81">
        <v>1</v>
      </c>
      <c r="G25" s="82">
        <f>G24+2</f>
        <v>43283</v>
      </c>
      <c r="H25" s="83"/>
      <c r="I25" s="74" t="s">
        <v>97</v>
      </c>
      <c r="J25" s="61" t="s">
        <v>31</v>
      </c>
      <c r="K25" s="61">
        <v>8</v>
      </c>
      <c r="L25" s="61" t="s">
        <v>49</v>
      </c>
      <c r="M25" s="61"/>
      <c r="N25" s="61"/>
      <c r="O25" s="63"/>
    </row>
    <row r="26" spans="1:15" ht="15.75" x14ac:dyDescent="0.25">
      <c r="A26" s="84"/>
      <c r="B26" s="85"/>
      <c r="C26" s="86"/>
      <c r="D26" s="66"/>
      <c r="E26" s="67"/>
      <c r="F26" s="87"/>
      <c r="G26" s="38">
        <f>G25+1</f>
        <v>43284</v>
      </c>
      <c r="H26" s="88" t="s">
        <v>17</v>
      </c>
      <c r="I26" s="36" t="s">
        <v>97</v>
      </c>
      <c r="J26" s="35" t="s">
        <v>31</v>
      </c>
      <c r="K26" s="35">
        <v>3</v>
      </c>
      <c r="L26" s="35" t="s">
        <v>49</v>
      </c>
      <c r="M26" s="35"/>
      <c r="N26" s="35"/>
      <c r="O26" s="37"/>
    </row>
    <row r="27" spans="1:15" ht="15.75" x14ac:dyDescent="0.25">
      <c r="A27" s="84"/>
      <c r="B27" s="85"/>
      <c r="C27" s="86"/>
      <c r="D27" s="66"/>
      <c r="E27" s="67"/>
      <c r="F27" s="87"/>
      <c r="G27" s="26"/>
      <c r="H27" s="86"/>
      <c r="I27" s="46" t="s">
        <v>39</v>
      </c>
      <c r="J27" s="46" t="s">
        <v>39</v>
      </c>
      <c r="K27" s="46">
        <v>1</v>
      </c>
      <c r="L27" s="46"/>
      <c r="M27" s="46" t="s">
        <v>52</v>
      </c>
      <c r="N27" s="46" t="s">
        <v>29</v>
      </c>
      <c r="O27" s="89">
        <v>1</v>
      </c>
    </row>
    <row r="28" spans="1:15" ht="51" customHeight="1" x14ac:dyDescent="0.25">
      <c r="A28" s="84"/>
      <c r="B28" s="85"/>
      <c r="C28" s="86"/>
      <c r="D28" s="66"/>
      <c r="E28" s="67"/>
      <c r="F28" s="87"/>
      <c r="G28" s="26"/>
      <c r="H28" s="90" t="s">
        <v>25</v>
      </c>
      <c r="I28" s="91" t="s">
        <v>53</v>
      </c>
      <c r="J28" s="92" t="s">
        <v>27</v>
      </c>
      <c r="K28" s="92">
        <v>1</v>
      </c>
      <c r="L28" s="92"/>
      <c r="M28" s="93" t="s">
        <v>54</v>
      </c>
      <c r="N28" s="92" t="s">
        <v>29</v>
      </c>
      <c r="O28" s="94">
        <v>1</v>
      </c>
    </row>
    <row r="29" spans="1:15" ht="15.75" x14ac:dyDescent="0.25">
      <c r="A29" s="84"/>
      <c r="B29" s="85"/>
      <c r="C29" s="86"/>
      <c r="D29" s="66"/>
      <c r="E29" s="67"/>
      <c r="F29" s="87"/>
      <c r="G29" s="33"/>
      <c r="H29" s="95"/>
      <c r="I29" s="35" t="s">
        <v>55</v>
      </c>
      <c r="J29" s="35" t="s">
        <v>31</v>
      </c>
      <c r="K29" s="35">
        <v>3</v>
      </c>
      <c r="L29" s="35" t="s">
        <v>56</v>
      </c>
      <c r="M29" s="96"/>
      <c r="N29" s="35"/>
      <c r="O29" s="37"/>
    </row>
    <row r="30" spans="1:15" ht="15.75" x14ac:dyDescent="0.25">
      <c r="A30" s="84"/>
      <c r="B30" s="85"/>
      <c r="C30" s="86"/>
      <c r="D30" s="66"/>
      <c r="E30" s="67"/>
      <c r="F30" s="87"/>
      <c r="G30" s="97">
        <f>G26+1</f>
        <v>43285</v>
      </c>
      <c r="H30" s="98"/>
      <c r="I30" s="35" t="s">
        <v>57</v>
      </c>
      <c r="J30" s="35" t="s">
        <v>31</v>
      </c>
      <c r="K30" s="35">
        <v>8</v>
      </c>
      <c r="L30" s="35" t="s">
        <v>56</v>
      </c>
      <c r="M30" s="36" t="s">
        <v>58</v>
      </c>
      <c r="N30" s="35"/>
      <c r="O30" s="37"/>
    </row>
    <row r="31" spans="1:15" ht="15.75" x14ac:dyDescent="0.25">
      <c r="A31" s="99"/>
      <c r="B31" s="100"/>
      <c r="C31" s="101"/>
      <c r="D31" s="24"/>
      <c r="E31" s="25"/>
      <c r="F31" s="50">
        <v>2</v>
      </c>
      <c r="G31" s="38">
        <f>G30+1</f>
        <v>43286</v>
      </c>
      <c r="H31" s="40" t="s">
        <v>17</v>
      </c>
      <c r="I31" s="46" t="s">
        <v>39</v>
      </c>
      <c r="J31" s="46" t="s">
        <v>39</v>
      </c>
      <c r="K31" s="46">
        <v>4</v>
      </c>
      <c r="L31" s="46"/>
      <c r="M31" s="76" t="s">
        <v>59</v>
      </c>
      <c r="N31" s="46" t="s">
        <v>29</v>
      </c>
      <c r="O31" s="48">
        <v>4</v>
      </c>
    </row>
    <row r="32" spans="1:15" ht="15.75" x14ac:dyDescent="0.25">
      <c r="A32" s="99"/>
      <c r="B32" s="100"/>
      <c r="C32" s="101"/>
      <c r="D32" s="24"/>
      <c r="E32" s="25"/>
      <c r="F32" s="87"/>
      <c r="G32" s="102"/>
      <c r="H32" s="40" t="s">
        <v>25</v>
      </c>
      <c r="I32" s="35" t="s">
        <v>99</v>
      </c>
      <c r="J32" s="35" t="s">
        <v>31</v>
      </c>
      <c r="K32" s="35">
        <v>4</v>
      </c>
      <c r="L32" s="35" t="s">
        <v>60</v>
      </c>
      <c r="M32" s="103" t="s">
        <v>61</v>
      </c>
      <c r="N32" s="35"/>
      <c r="O32" s="37"/>
    </row>
    <row r="33" spans="1:15" ht="15.75" x14ac:dyDescent="0.25">
      <c r="A33" s="99"/>
      <c r="B33" s="100"/>
      <c r="C33" s="101"/>
      <c r="D33" s="24"/>
      <c r="E33" s="25"/>
      <c r="F33" s="53">
        <v>3</v>
      </c>
      <c r="G33" s="38">
        <f>G31+1</f>
        <v>43287</v>
      </c>
      <c r="H33" s="98" t="s">
        <v>17</v>
      </c>
      <c r="I33" s="35" t="s">
        <v>99</v>
      </c>
      <c r="J33" s="35" t="s">
        <v>31</v>
      </c>
      <c r="K33" s="35">
        <v>6</v>
      </c>
      <c r="L33" s="35" t="s">
        <v>60</v>
      </c>
      <c r="M33" s="104"/>
      <c r="N33" s="35"/>
      <c r="O33" s="37"/>
    </row>
    <row r="34" spans="1:15" ht="15.75" x14ac:dyDescent="0.25">
      <c r="A34" s="99"/>
      <c r="B34" s="100"/>
      <c r="C34" s="101"/>
      <c r="D34" s="24"/>
      <c r="E34" s="25"/>
      <c r="F34" s="53"/>
      <c r="G34" s="33"/>
      <c r="H34" s="98" t="s">
        <v>25</v>
      </c>
      <c r="I34" s="35" t="s">
        <v>98</v>
      </c>
      <c r="J34" s="35" t="s">
        <v>31</v>
      </c>
      <c r="K34" s="35">
        <v>2</v>
      </c>
      <c r="L34" s="35"/>
      <c r="M34" s="105" t="s">
        <v>101</v>
      </c>
      <c r="N34" s="35"/>
      <c r="O34" s="37"/>
    </row>
    <row r="35" spans="1:15" ht="16.5" thickBot="1" x14ac:dyDescent="0.3">
      <c r="A35" s="99"/>
      <c r="B35" s="100"/>
      <c r="C35" s="101"/>
      <c r="D35" s="24"/>
      <c r="E35" s="25"/>
      <c r="F35" s="53">
        <v>6</v>
      </c>
      <c r="G35" s="44">
        <f>G33+1</f>
        <v>43288</v>
      </c>
      <c r="H35" s="77" t="s">
        <v>17</v>
      </c>
      <c r="I35" s="57" t="s">
        <v>41</v>
      </c>
      <c r="J35" s="57"/>
      <c r="K35" s="57">
        <v>0</v>
      </c>
      <c r="L35" s="57"/>
      <c r="M35" s="57"/>
      <c r="N35" s="57"/>
      <c r="O35" s="57"/>
    </row>
    <row r="36" spans="1:15" ht="15.75" x14ac:dyDescent="0.25">
      <c r="A36" s="11">
        <v>2</v>
      </c>
      <c r="B36" s="12">
        <v>4</v>
      </c>
      <c r="C36" s="141"/>
      <c r="D36" s="80" t="s">
        <v>39</v>
      </c>
      <c r="E36" s="15" t="s">
        <v>64</v>
      </c>
      <c r="F36" s="81">
        <v>1</v>
      </c>
      <c r="G36" s="16">
        <f>G35 +2</f>
        <v>43290</v>
      </c>
      <c r="H36" s="98" t="s">
        <v>17</v>
      </c>
      <c r="I36" s="35" t="s">
        <v>98</v>
      </c>
      <c r="J36" s="35" t="s">
        <v>31</v>
      </c>
      <c r="K36" s="35">
        <v>7</v>
      </c>
      <c r="L36" s="35"/>
      <c r="M36" s="105" t="s">
        <v>101</v>
      </c>
      <c r="N36" s="35"/>
      <c r="O36" s="37"/>
    </row>
    <row r="37" spans="1:15" ht="15.75" x14ac:dyDescent="0.25">
      <c r="A37" s="64"/>
      <c r="B37" s="65"/>
      <c r="C37" s="66"/>
      <c r="D37" s="86"/>
      <c r="E37" s="67"/>
      <c r="F37" s="87"/>
      <c r="G37" s="33"/>
      <c r="H37" s="106" t="s">
        <v>25</v>
      </c>
      <c r="I37" s="46" t="s">
        <v>39</v>
      </c>
      <c r="J37" s="46" t="s">
        <v>39</v>
      </c>
      <c r="K37" s="46">
        <v>1</v>
      </c>
      <c r="L37" s="46"/>
      <c r="M37" s="107" t="s">
        <v>65</v>
      </c>
      <c r="N37" s="46" t="s">
        <v>29</v>
      </c>
      <c r="O37" s="48">
        <v>1</v>
      </c>
    </row>
    <row r="38" spans="1:15" ht="141.75" x14ac:dyDescent="0.25">
      <c r="A38" s="64"/>
      <c r="B38" s="65"/>
      <c r="C38" s="66"/>
      <c r="D38" s="86"/>
      <c r="E38" s="67"/>
      <c r="F38" s="87"/>
      <c r="G38" s="38">
        <f>G36+1</f>
        <v>43291</v>
      </c>
      <c r="H38" s="88" t="s">
        <v>17</v>
      </c>
      <c r="I38" s="35" t="s">
        <v>66</v>
      </c>
      <c r="J38" s="35" t="s">
        <v>67</v>
      </c>
      <c r="K38" s="35">
        <v>2</v>
      </c>
      <c r="L38" s="96"/>
      <c r="M38" s="108" t="s">
        <v>68</v>
      </c>
      <c r="N38" s="35" t="s">
        <v>69</v>
      </c>
      <c r="O38" s="37">
        <v>2</v>
      </c>
    </row>
    <row r="39" spans="1:15" ht="15.75" x14ac:dyDescent="0.25">
      <c r="A39" s="21"/>
      <c r="B39" s="22"/>
      <c r="C39" s="24"/>
      <c r="D39" s="101"/>
      <c r="E39" s="25"/>
      <c r="F39" s="87"/>
      <c r="G39" s="26"/>
      <c r="H39" s="86"/>
      <c r="I39" s="35" t="s">
        <v>104</v>
      </c>
      <c r="J39" s="35" t="s">
        <v>45</v>
      </c>
      <c r="K39" s="35">
        <v>2</v>
      </c>
      <c r="L39" s="35"/>
      <c r="M39" s="35" t="s">
        <v>70</v>
      </c>
      <c r="N39" s="35" t="s">
        <v>69</v>
      </c>
      <c r="O39" s="37">
        <v>2</v>
      </c>
    </row>
    <row r="40" spans="1:15" ht="19.5" customHeight="1" x14ac:dyDescent="0.25">
      <c r="A40" s="21"/>
      <c r="B40" s="22"/>
      <c r="C40" s="24"/>
      <c r="D40" s="101"/>
      <c r="E40" s="25"/>
      <c r="F40" s="87"/>
      <c r="G40" s="33"/>
      <c r="H40" s="98" t="s">
        <v>25</v>
      </c>
      <c r="I40" s="35" t="s">
        <v>105</v>
      </c>
      <c r="J40" s="35" t="s">
        <v>45</v>
      </c>
      <c r="K40" s="35">
        <v>4</v>
      </c>
      <c r="L40" s="35"/>
      <c r="M40" s="35"/>
      <c r="N40" s="35"/>
      <c r="O40" s="37"/>
    </row>
    <row r="41" spans="1:15" ht="15.75" x14ac:dyDescent="0.25">
      <c r="A41" s="21"/>
      <c r="B41" s="22"/>
      <c r="C41" s="24"/>
      <c r="D41" s="101"/>
      <c r="E41" s="25"/>
      <c r="F41" s="53">
        <v>2</v>
      </c>
      <c r="G41" s="44">
        <f>G38+1</f>
        <v>43292</v>
      </c>
      <c r="H41" s="98"/>
      <c r="I41" s="35" t="s">
        <v>105</v>
      </c>
      <c r="J41" s="35" t="s">
        <v>45</v>
      </c>
      <c r="K41" s="35">
        <v>8</v>
      </c>
      <c r="L41" s="35"/>
      <c r="M41" s="35"/>
      <c r="N41" s="35"/>
      <c r="O41" s="37"/>
    </row>
    <row r="42" spans="1:15" ht="15.75" x14ac:dyDescent="0.25">
      <c r="A42" s="21"/>
      <c r="B42" s="22"/>
      <c r="C42" s="24"/>
      <c r="D42" s="101"/>
      <c r="E42" s="25"/>
      <c r="F42" s="50">
        <v>3</v>
      </c>
      <c r="G42" s="38">
        <f>G41+1</f>
        <v>43293</v>
      </c>
      <c r="H42" s="98" t="s">
        <v>17</v>
      </c>
      <c r="I42" s="35" t="s">
        <v>105</v>
      </c>
      <c r="J42" s="35" t="s">
        <v>45</v>
      </c>
      <c r="K42" s="35">
        <v>4</v>
      </c>
      <c r="L42" s="35"/>
      <c r="M42" s="109"/>
      <c r="N42" s="35"/>
      <c r="O42" s="37"/>
    </row>
    <row r="43" spans="1:15" ht="15.75" x14ac:dyDescent="0.25">
      <c r="A43" s="21"/>
      <c r="B43" s="22"/>
      <c r="C43" s="24"/>
      <c r="D43" s="101"/>
      <c r="E43" s="25"/>
      <c r="F43" s="87"/>
      <c r="G43" s="110"/>
      <c r="H43" s="98" t="s">
        <v>25</v>
      </c>
      <c r="I43" s="35" t="s">
        <v>105</v>
      </c>
      <c r="J43" s="35" t="s">
        <v>45</v>
      </c>
      <c r="K43" s="35">
        <v>4</v>
      </c>
      <c r="L43" s="109"/>
      <c r="M43" s="109"/>
      <c r="N43" s="35"/>
      <c r="O43" s="37"/>
    </row>
    <row r="44" spans="1:15" ht="15.75" x14ac:dyDescent="0.25">
      <c r="A44" s="21"/>
      <c r="B44" s="22"/>
      <c r="C44" s="24"/>
      <c r="D44" s="101"/>
      <c r="E44" s="25"/>
      <c r="F44" s="50">
        <v>4</v>
      </c>
      <c r="G44" s="38">
        <f>G42+1</f>
        <v>43294</v>
      </c>
      <c r="H44" s="127" t="s">
        <v>17</v>
      </c>
      <c r="I44" s="35" t="s">
        <v>105</v>
      </c>
      <c r="J44" s="35" t="s">
        <v>45</v>
      </c>
      <c r="K44" s="40">
        <v>4</v>
      </c>
      <c r="L44" s="109"/>
      <c r="M44" s="40"/>
      <c r="N44" s="40"/>
      <c r="O44" s="41"/>
    </row>
    <row r="45" spans="1:15" ht="15.75" x14ac:dyDescent="0.25">
      <c r="A45" s="21"/>
      <c r="B45" s="22"/>
      <c r="C45" s="24"/>
      <c r="D45" s="101"/>
      <c r="E45" s="25"/>
      <c r="F45" s="87"/>
      <c r="G45" s="26"/>
      <c r="H45" s="88" t="s">
        <v>25</v>
      </c>
      <c r="I45" s="35" t="s">
        <v>105</v>
      </c>
      <c r="J45" s="35" t="s">
        <v>45</v>
      </c>
      <c r="K45" s="35">
        <v>2</v>
      </c>
      <c r="L45" s="36"/>
      <c r="M45" s="36"/>
      <c r="N45" s="35"/>
      <c r="O45" s="37"/>
    </row>
    <row r="46" spans="1:15" ht="47.25" x14ac:dyDescent="0.25">
      <c r="A46" s="21"/>
      <c r="B46" s="22"/>
      <c r="C46" s="24"/>
      <c r="D46" s="101"/>
      <c r="E46" s="25"/>
      <c r="F46" s="87"/>
      <c r="G46" s="26"/>
      <c r="H46" s="23"/>
      <c r="I46" s="113" t="s">
        <v>72</v>
      </c>
      <c r="J46" s="46" t="s">
        <v>27</v>
      </c>
      <c r="K46" s="46">
        <v>1</v>
      </c>
      <c r="L46" s="46"/>
      <c r="M46" s="114" t="s">
        <v>54</v>
      </c>
      <c r="N46" s="46" t="s">
        <v>29</v>
      </c>
      <c r="O46" s="48">
        <v>1</v>
      </c>
    </row>
    <row r="47" spans="1:15" ht="15.75" x14ac:dyDescent="0.25">
      <c r="A47" s="49"/>
      <c r="B47" s="50"/>
      <c r="C47" s="51"/>
      <c r="D47" s="88"/>
      <c r="E47" s="52"/>
      <c r="F47" s="68"/>
      <c r="G47" s="33"/>
      <c r="H47" s="86"/>
      <c r="I47" s="35" t="s">
        <v>73</v>
      </c>
      <c r="J47" s="35" t="s">
        <v>31</v>
      </c>
      <c r="K47" s="35">
        <v>1</v>
      </c>
      <c r="L47" s="35" t="s">
        <v>56</v>
      </c>
      <c r="M47" s="35"/>
      <c r="N47" s="35"/>
      <c r="O47" s="37"/>
    </row>
    <row r="48" spans="1:15" ht="16.5" thickBot="1" x14ac:dyDescent="0.3">
      <c r="A48" s="115"/>
      <c r="B48" s="116"/>
      <c r="C48" s="117"/>
      <c r="D48" s="118"/>
      <c r="E48" s="119"/>
      <c r="F48" s="120">
        <v>6</v>
      </c>
      <c r="G48" s="54">
        <f>G44+1</f>
        <v>43295</v>
      </c>
      <c r="H48" s="77" t="s">
        <v>17</v>
      </c>
      <c r="I48" s="57" t="s">
        <v>41</v>
      </c>
      <c r="J48" s="57" t="s">
        <v>42</v>
      </c>
      <c r="K48" s="57">
        <v>0</v>
      </c>
      <c r="L48" s="57"/>
      <c r="M48" s="57"/>
      <c r="N48" s="57"/>
      <c r="O48" s="58"/>
    </row>
    <row r="49" spans="1:15" ht="15.75" x14ac:dyDescent="0.25">
      <c r="A49" s="11">
        <v>3</v>
      </c>
      <c r="B49" s="12">
        <v>5</v>
      </c>
      <c r="C49" s="140" t="s">
        <v>103</v>
      </c>
      <c r="D49" s="14"/>
      <c r="E49" s="15" t="s">
        <v>74</v>
      </c>
      <c r="F49" s="81">
        <v>1</v>
      </c>
      <c r="G49" s="16">
        <f>G48 +2</f>
        <v>43297</v>
      </c>
      <c r="H49" s="121" t="s">
        <v>17</v>
      </c>
      <c r="I49" s="35" t="s">
        <v>73</v>
      </c>
      <c r="J49" s="35" t="s">
        <v>31</v>
      </c>
      <c r="K49" s="35">
        <v>1</v>
      </c>
      <c r="L49" s="35" t="s">
        <v>56</v>
      </c>
      <c r="M49" s="35"/>
      <c r="N49" s="35"/>
      <c r="O49" s="37"/>
    </row>
    <row r="50" spans="1:15" ht="15.75" x14ac:dyDescent="0.25">
      <c r="A50" s="64"/>
      <c r="B50" s="65"/>
      <c r="C50" s="86"/>
      <c r="D50" s="66"/>
      <c r="E50" s="67"/>
      <c r="F50" s="87"/>
      <c r="G50" s="26"/>
      <c r="H50" s="95"/>
      <c r="I50" s="35" t="s">
        <v>75</v>
      </c>
      <c r="J50" s="35" t="s">
        <v>31</v>
      </c>
      <c r="K50" s="35">
        <v>2</v>
      </c>
      <c r="L50" s="35" t="s">
        <v>56</v>
      </c>
      <c r="M50" s="35"/>
      <c r="N50" s="35"/>
      <c r="O50" s="37"/>
    </row>
    <row r="51" spans="1:15" ht="15.75" x14ac:dyDescent="0.25">
      <c r="A51" s="64"/>
      <c r="B51" s="65"/>
      <c r="C51" s="86"/>
      <c r="D51" s="66"/>
      <c r="E51" s="67"/>
      <c r="F51" s="87"/>
      <c r="G51" s="26"/>
      <c r="H51" s="88" t="s">
        <v>25</v>
      </c>
      <c r="I51" s="122" t="s">
        <v>76</v>
      </c>
      <c r="J51" s="122" t="s">
        <v>31</v>
      </c>
      <c r="K51" s="122">
        <v>4</v>
      </c>
      <c r="L51" s="123" t="s">
        <v>77</v>
      </c>
      <c r="M51" s="96"/>
      <c r="N51" s="35"/>
      <c r="O51" s="37"/>
    </row>
    <row r="52" spans="1:15" ht="15.75" x14ac:dyDescent="0.25">
      <c r="A52" s="64"/>
      <c r="B52" s="65"/>
      <c r="C52" s="86"/>
      <c r="D52" s="66"/>
      <c r="E52" s="67"/>
      <c r="F52" s="87"/>
      <c r="G52" s="33"/>
      <c r="H52" s="86"/>
      <c r="I52" s="35" t="s">
        <v>78</v>
      </c>
      <c r="J52" s="35" t="s">
        <v>31</v>
      </c>
      <c r="K52" s="35">
        <v>1</v>
      </c>
      <c r="L52" s="35" t="s">
        <v>79</v>
      </c>
      <c r="M52" s="124" t="s">
        <v>80</v>
      </c>
      <c r="N52" s="35"/>
      <c r="O52" s="37"/>
    </row>
    <row r="53" spans="1:15" ht="15.75" x14ac:dyDescent="0.25">
      <c r="A53" s="64"/>
      <c r="B53" s="65"/>
      <c r="C53" s="86"/>
      <c r="D53" s="66"/>
      <c r="E53" s="67"/>
      <c r="F53" s="87"/>
      <c r="G53" s="38">
        <f xml:space="preserve"> G49 + 1</f>
        <v>43298</v>
      </c>
      <c r="H53" s="45" t="s">
        <v>17</v>
      </c>
      <c r="I53" s="35" t="s">
        <v>78</v>
      </c>
      <c r="J53" s="35" t="s">
        <v>31</v>
      </c>
      <c r="K53" s="35">
        <v>2</v>
      </c>
      <c r="L53" s="35" t="s">
        <v>79</v>
      </c>
      <c r="M53" s="124" t="s">
        <v>80</v>
      </c>
      <c r="N53" s="35"/>
      <c r="O53" s="37"/>
    </row>
    <row r="54" spans="1:15" ht="15.75" x14ac:dyDescent="0.25">
      <c r="A54" s="21"/>
      <c r="B54" s="22"/>
      <c r="C54" s="101"/>
      <c r="D54" s="24"/>
      <c r="E54" s="25"/>
      <c r="F54" s="50">
        <v>2</v>
      </c>
      <c r="G54" s="33"/>
      <c r="H54" s="39" t="s">
        <v>25</v>
      </c>
      <c r="I54" s="35" t="s">
        <v>105</v>
      </c>
      <c r="J54" s="35" t="s">
        <v>45</v>
      </c>
      <c r="K54" s="35">
        <v>6</v>
      </c>
      <c r="L54" s="35"/>
      <c r="M54" s="35"/>
      <c r="N54" s="35"/>
      <c r="O54" s="37"/>
    </row>
    <row r="55" spans="1:15" ht="15.75" customHeight="1" x14ac:dyDescent="0.25">
      <c r="A55" s="21"/>
      <c r="B55" s="22"/>
      <c r="C55" s="101"/>
      <c r="D55" s="24"/>
      <c r="E55" s="25"/>
      <c r="F55" s="87"/>
      <c r="G55" s="38">
        <f>G53+1</f>
        <v>43299</v>
      </c>
      <c r="H55" s="31" t="s">
        <v>17</v>
      </c>
      <c r="I55" s="35" t="s">
        <v>105</v>
      </c>
      <c r="J55" s="35" t="s">
        <v>45</v>
      </c>
      <c r="K55" s="35">
        <v>2</v>
      </c>
      <c r="L55" s="35"/>
      <c r="M55" s="35"/>
      <c r="N55" s="35"/>
      <c r="O55" s="37"/>
    </row>
    <row r="56" spans="1:15" ht="15.75" customHeight="1" x14ac:dyDescent="0.25">
      <c r="A56" s="21"/>
      <c r="B56" s="22"/>
      <c r="C56" s="101"/>
      <c r="D56" s="24"/>
      <c r="E56" s="25"/>
      <c r="F56" s="87"/>
      <c r="G56" s="26"/>
      <c r="H56" s="34"/>
      <c r="I56" s="76" t="s">
        <v>39</v>
      </c>
      <c r="J56" s="46" t="s">
        <v>39</v>
      </c>
      <c r="K56" s="46">
        <v>2</v>
      </c>
      <c r="L56" s="76"/>
      <c r="M56" s="46" t="s">
        <v>81</v>
      </c>
      <c r="N56" s="46" t="s">
        <v>29</v>
      </c>
      <c r="O56" s="48">
        <v>2</v>
      </c>
    </row>
    <row r="57" spans="1:15" ht="15.75" x14ac:dyDescent="0.25">
      <c r="A57" s="21"/>
      <c r="B57" s="22"/>
      <c r="C57" s="101"/>
      <c r="D57" s="24"/>
      <c r="E57" s="25"/>
      <c r="F57" s="87"/>
      <c r="G57" s="26"/>
      <c r="H57" s="51" t="s">
        <v>25</v>
      </c>
      <c r="I57" s="35" t="s">
        <v>71</v>
      </c>
      <c r="J57" s="35" t="s">
        <v>67</v>
      </c>
      <c r="K57" s="35">
        <v>2</v>
      </c>
      <c r="L57" s="109"/>
      <c r="M57" s="109" t="s">
        <v>67</v>
      </c>
      <c r="N57" s="35"/>
      <c r="O57" s="37"/>
    </row>
    <row r="58" spans="1:15" ht="15.75" x14ac:dyDescent="0.25">
      <c r="A58" s="21"/>
      <c r="B58" s="22"/>
      <c r="C58" s="101"/>
      <c r="D58" s="24"/>
      <c r="E58" s="25"/>
      <c r="F58" s="87"/>
      <c r="G58" s="26"/>
      <c r="H58" s="66"/>
      <c r="I58" s="35" t="s">
        <v>107</v>
      </c>
      <c r="J58" s="35" t="s">
        <v>45</v>
      </c>
      <c r="K58" s="35">
        <v>2</v>
      </c>
      <c r="L58" s="109"/>
      <c r="M58" s="109"/>
      <c r="N58" s="35"/>
      <c r="O58" s="37"/>
    </row>
    <row r="59" spans="1:15" ht="15.75" x14ac:dyDescent="0.25">
      <c r="A59" s="21"/>
      <c r="B59" s="22"/>
      <c r="C59" s="101"/>
      <c r="D59" s="24"/>
      <c r="E59" s="25"/>
      <c r="F59" s="53">
        <v>3</v>
      </c>
      <c r="G59" s="44">
        <f>G55+1</f>
        <v>43300</v>
      </c>
      <c r="H59" s="39"/>
      <c r="I59" s="35" t="s">
        <v>105</v>
      </c>
      <c r="J59" s="35" t="s">
        <v>45</v>
      </c>
      <c r="K59" s="35">
        <v>8</v>
      </c>
      <c r="L59" s="35"/>
      <c r="M59" s="35"/>
      <c r="N59" s="35"/>
      <c r="O59" s="37"/>
    </row>
    <row r="60" spans="1:15" ht="15.75" x14ac:dyDescent="0.25">
      <c r="A60" s="21"/>
      <c r="B60" s="22"/>
      <c r="C60" s="101"/>
      <c r="D60" s="24"/>
      <c r="E60" s="25"/>
      <c r="F60" s="53">
        <v>4</v>
      </c>
      <c r="G60" s="44">
        <f>G59+1</f>
        <v>43301</v>
      </c>
      <c r="H60" s="45"/>
      <c r="I60" s="35" t="s">
        <v>105</v>
      </c>
      <c r="J60" s="35" t="s">
        <v>45</v>
      </c>
      <c r="K60" s="35">
        <v>8</v>
      </c>
      <c r="L60" s="35"/>
      <c r="M60" s="35"/>
      <c r="N60" s="35"/>
      <c r="O60" s="37"/>
    </row>
    <row r="61" spans="1:15" ht="16.5" thickBot="1" x14ac:dyDescent="0.3">
      <c r="A61" s="115"/>
      <c r="B61" s="116"/>
      <c r="C61" s="118"/>
      <c r="D61" s="117"/>
      <c r="E61" s="119"/>
      <c r="F61" s="120">
        <v>6</v>
      </c>
      <c r="G61" s="54">
        <f>G60+1</f>
        <v>43302</v>
      </c>
      <c r="H61" s="77" t="s">
        <v>17</v>
      </c>
      <c r="I61" s="57" t="s">
        <v>41</v>
      </c>
      <c r="J61" s="57" t="s">
        <v>42</v>
      </c>
      <c r="K61" s="57">
        <v>0</v>
      </c>
      <c r="L61" s="57"/>
      <c r="M61" s="57"/>
      <c r="N61" s="57"/>
      <c r="O61" s="58"/>
    </row>
    <row r="62" spans="1:15" ht="15.75" x14ac:dyDescent="0.25">
      <c r="A62" s="11">
        <v>2</v>
      </c>
      <c r="B62" s="12">
        <v>6</v>
      </c>
      <c r="C62" s="14"/>
      <c r="D62" s="13"/>
      <c r="E62" s="15" t="s">
        <v>82</v>
      </c>
      <c r="F62" s="59">
        <v>1</v>
      </c>
      <c r="G62" s="125">
        <f>G61+2</f>
        <v>43304</v>
      </c>
      <c r="H62" s="126" t="s">
        <v>17</v>
      </c>
      <c r="I62" s="35" t="s">
        <v>105</v>
      </c>
      <c r="J62" s="35" t="s">
        <v>45</v>
      </c>
      <c r="K62" s="35">
        <v>8</v>
      </c>
      <c r="L62" s="35"/>
      <c r="M62" s="35"/>
      <c r="N62" s="35"/>
      <c r="O62" s="37"/>
    </row>
    <row r="63" spans="1:15" ht="15.75" x14ac:dyDescent="0.25">
      <c r="A63" s="21"/>
      <c r="B63" s="22"/>
      <c r="C63" s="24"/>
      <c r="D63" s="23"/>
      <c r="E63" s="25"/>
      <c r="F63" s="53">
        <v>2</v>
      </c>
      <c r="G63" s="142">
        <f>G62+1</f>
        <v>43305</v>
      </c>
      <c r="H63" s="143" t="s">
        <v>17</v>
      </c>
      <c r="I63" s="35" t="s">
        <v>105</v>
      </c>
      <c r="J63" s="35" t="s">
        <v>45</v>
      </c>
      <c r="K63" s="35">
        <v>2</v>
      </c>
      <c r="L63" s="35"/>
      <c r="M63" s="35"/>
      <c r="N63" s="35"/>
      <c r="O63" s="37"/>
    </row>
    <row r="64" spans="1:15" ht="15.75" x14ac:dyDescent="0.25">
      <c r="A64" s="21"/>
      <c r="B64" s="22"/>
      <c r="C64" s="24"/>
      <c r="D64" s="23"/>
      <c r="E64" s="25"/>
      <c r="F64" s="53"/>
      <c r="G64" s="142"/>
      <c r="H64" s="143"/>
      <c r="I64" s="76" t="s">
        <v>84</v>
      </c>
      <c r="J64" s="46" t="s">
        <v>39</v>
      </c>
      <c r="K64" s="46">
        <v>2</v>
      </c>
      <c r="L64" s="76"/>
      <c r="M64" s="46" t="s">
        <v>85</v>
      </c>
      <c r="N64" s="46" t="s">
        <v>29</v>
      </c>
      <c r="O64" s="48">
        <v>2</v>
      </c>
    </row>
    <row r="65" spans="1:15" ht="15.75" x14ac:dyDescent="0.25">
      <c r="A65" s="21"/>
      <c r="B65" s="22"/>
      <c r="C65" s="24"/>
      <c r="D65" s="23"/>
      <c r="E65" s="25"/>
      <c r="F65" s="53"/>
      <c r="G65" s="144"/>
      <c r="H65" s="143"/>
      <c r="I65" s="35" t="s">
        <v>83</v>
      </c>
      <c r="J65" s="35" t="s">
        <v>45</v>
      </c>
      <c r="K65" s="35">
        <v>2</v>
      </c>
      <c r="L65" s="96"/>
      <c r="M65" s="35" t="s">
        <v>67</v>
      </c>
      <c r="N65" s="35"/>
      <c r="O65" s="37"/>
    </row>
    <row r="66" spans="1:15" ht="15.75" x14ac:dyDescent="0.25">
      <c r="A66" s="21"/>
      <c r="B66" s="22"/>
      <c r="C66" s="24"/>
      <c r="D66" s="23"/>
      <c r="E66" s="25"/>
      <c r="F66" s="53"/>
      <c r="G66" s="144"/>
      <c r="H66" s="129" t="s">
        <v>25</v>
      </c>
      <c r="I66" s="35" t="s">
        <v>106</v>
      </c>
      <c r="J66" s="35" t="s">
        <v>45</v>
      </c>
      <c r="K66" s="35">
        <v>2</v>
      </c>
      <c r="L66" s="35"/>
      <c r="M66" s="35"/>
      <c r="N66" s="35"/>
      <c r="O66" s="37"/>
    </row>
    <row r="67" spans="1:15" ht="15.75" x14ac:dyDescent="0.25">
      <c r="A67" s="21"/>
      <c r="B67" s="22"/>
      <c r="C67" s="24"/>
      <c r="D67" s="23"/>
      <c r="E67" s="25"/>
      <c r="F67" s="53">
        <v>3</v>
      </c>
      <c r="G67" s="44">
        <f>G63+1</f>
        <v>43306</v>
      </c>
      <c r="H67" s="39"/>
      <c r="I67" s="35" t="s">
        <v>108</v>
      </c>
      <c r="J67" s="35" t="s">
        <v>45</v>
      </c>
      <c r="K67" s="35">
        <v>8</v>
      </c>
      <c r="L67" s="35"/>
      <c r="M67" s="35"/>
      <c r="N67" s="35"/>
      <c r="O67" s="37"/>
    </row>
    <row r="68" spans="1:15" ht="15.75" x14ac:dyDescent="0.25">
      <c r="A68" s="21"/>
      <c r="B68" s="22"/>
      <c r="C68" s="24"/>
      <c r="D68" s="23"/>
      <c r="E68" s="25"/>
      <c r="F68" s="53">
        <v>4</v>
      </c>
      <c r="G68" s="44">
        <f>G67+1</f>
        <v>43307</v>
      </c>
      <c r="H68" s="127" t="s">
        <v>17</v>
      </c>
      <c r="I68" s="35" t="s">
        <v>108</v>
      </c>
      <c r="J68" s="35" t="s">
        <v>45</v>
      </c>
      <c r="K68" s="35">
        <v>8</v>
      </c>
      <c r="L68" s="35"/>
      <c r="M68" s="35"/>
      <c r="N68" s="35"/>
      <c r="O68" s="37"/>
    </row>
    <row r="69" spans="1:15" ht="15.75" x14ac:dyDescent="0.25">
      <c r="A69" s="21"/>
      <c r="B69" s="22"/>
      <c r="C69" s="24"/>
      <c r="D69" s="23"/>
      <c r="E69" s="25"/>
      <c r="F69" s="50">
        <v>5</v>
      </c>
      <c r="G69" s="145">
        <f>G68+1</f>
        <v>43308</v>
      </c>
      <c r="H69" s="111" t="s">
        <v>17</v>
      </c>
      <c r="I69" s="35" t="s">
        <v>108</v>
      </c>
      <c r="J69" s="35" t="s">
        <v>45</v>
      </c>
      <c r="K69" s="35">
        <v>2</v>
      </c>
      <c r="L69" s="35"/>
      <c r="N69" s="35"/>
      <c r="O69" s="37"/>
    </row>
    <row r="70" spans="1:15" ht="15.75" x14ac:dyDescent="0.25">
      <c r="A70" s="21"/>
      <c r="B70" s="22"/>
      <c r="C70" s="24"/>
      <c r="D70" s="23"/>
      <c r="E70" s="25"/>
      <c r="F70" s="87"/>
      <c r="G70" s="146"/>
      <c r="H70" s="112"/>
      <c r="I70" s="35" t="s">
        <v>108</v>
      </c>
      <c r="J70" s="35" t="s">
        <v>45</v>
      </c>
      <c r="K70" s="40">
        <v>2</v>
      </c>
      <c r="L70" s="109"/>
      <c r="M70" s="40"/>
      <c r="N70" s="40"/>
      <c r="O70" s="41"/>
    </row>
    <row r="71" spans="1:15" ht="15.75" x14ac:dyDescent="0.25">
      <c r="A71" s="21"/>
      <c r="B71" s="22"/>
      <c r="C71" s="24"/>
      <c r="D71" s="23"/>
      <c r="E71" s="25"/>
      <c r="F71" s="65"/>
      <c r="G71" s="147"/>
      <c r="H71" s="39" t="s">
        <v>25</v>
      </c>
      <c r="I71" s="35" t="s">
        <v>108</v>
      </c>
      <c r="J71" s="35" t="s">
        <v>45</v>
      </c>
      <c r="K71" s="35">
        <v>4</v>
      </c>
      <c r="L71" s="109"/>
      <c r="M71" s="35"/>
      <c r="N71" s="35"/>
      <c r="O71" s="37"/>
    </row>
    <row r="72" spans="1:15" ht="16.5" thickBot="1" x14ac:dyDescent="0.3">
      <c r="A72" s="115"/>
      <c r="B72" s="116"/>
      <c r="C72" s="117"/>
      <c r="D72" s="128"/>
      <c r="E72" s="119"/>
      <c r="F72" s="120">
        <v>6</v>
      </c>
      <c r="G72" s="54">
        <f>G69+1</f>
        <v>43309</v>
      </c>
      <c r="H72" s="77" t="s">
        <v>17</v>
      </c>
      <c r="I72" s="57" t="s">
        <v>41</v>
      </c>
      <c r="J72" s="57" t="s">
        <v>42</v>
      </c>
      <c r="K72" s="57">
        <v>0</v>
      </c>
      <c r="L72" s="57"/>
      <c r="M72" s="57"/>
      <c r="N72" s="57"/>
      <c r="O72" s="58"/>
    </row>
    <row r="73" spans="1:15" s="130" customFormat="1" ht="15.75" hidden="1" customHeight="1" x14ac:dyDescent="0.25">
      <c r="E73" s="131"/>
      <c r="I73" s="131"/>
      <c r="K73" s="132"/>
      <c r="M73" s="131"/>
      <c r="N73" s="133"/>
      <c r="O73" s="133"/>
    </row>
    <row r="74" spans="1:15" s="6" customFormat="1" ht="15.75" hidden="1" customHeight="1" x14ac:dyDescent="0.25">
      <c r="A74" s="5"/>
      <c r="B74" s="5"/>
      <c r="C74" s="5"/>
      <c r="D74" s="5"/>
      <c r="E74" s="5"/>
      <c r="F74" s="5"/>
      <c r="G74" s="5"/>
      <c r="H74" s="5"/>
      <c r="I74" s="134" t="s">
        <v>86</v>
      </c>
      <c r="J74" s="1"/>
      <c r="K74" s="135">
        <f>SUM(K4:K72)</f>
        <v>240</v>
      </c>
      <c r="L74" s="5"/>
      <c r="M74" s="5"/>
    </row>
    <row r="75" spans="1:15" s="6" customFormat="1" ht="15.75" hidden="1" customHeight="1" x14ac:dyDescent="0.25">
      <c r="A75" s="5"/>
      <c r="B75" s="5"/>
      <c r="C75" s="5"/>
      <c r="D75" s="5"/>
      <c r="E75" s="5"/>
      <c r="F75" s="5"/>
      <c r="G75" s="5"/>
      <c r="H75" s="5"/>
      <c r="I75" s="136" t="s">
        <v>87</v>
      </c>
      <c r="J75" s="1"/>
      <c r="K75" s="135">
        <f ca="1">SUM(K76:K82)</f>
        <v>6</v>
      </c>
      <c r="L75" s="5"/>
      <c r="M75" s="5"/>
    </row>
    <row r="76" spans="1:15" s="6" customFormat="1" ht="15.75" hidden="1" customHeight="1" x14ac:dyDescent="0.25">
      <c r="A76" s="5"/>
      <c r="B76" s="5"/>
      <c r="C76" s="5"/>
      <c r="D76" s="5"/>
      <c r="E76" s="5"/>
      <c r="F76" s="5"/>
      <c r="G76" s="5"/>
      <c r="H76" s="5"/>
      <c r="I76" s="137" t="s">
        <v>88</v>
      </c>
      <c r="J76" s="1"/>
      <c r="K76" s="1">
        <f ca="1">SUMIF($N$4:$O$72,I76,$O$4:$O$72)</f>
        <v>0</v>
      </c>
      <c r="L76" s="5"/>
      <c r="M76" s="5"/>
    </row>
    <row r="77" spans="1:15" s="6" customFormat="1" ht="15.75" hidden="1" customHeight="1" x14ac:dyDescent="0.25">
      <c r="A77" s="5"/>
      <c r="B77" s="5"/>
      <c r="C77" s="5"/>
      <c r="D77" s="5"/>
      <c r="E77" s="5"/>
      <c r="F77" s="5"/>
      <c r="G77" s="5"/>
      <c r="H77" s="5"/>
      <c r="I77" s="137" t="s">
        <v>69</v>
      </c>
      <c r="J77" s="1"/>
      <c r="K77" s="1">
        <f ca="1">SUMIF($N$4:$O$72,I77,$O$4:$O$72)</f>
        <v>4</v>
      </c>
      <c r="L77" s="5"/>
      <c r="M77" s="5"/>
    </row>
    <row r="78" spans="1:15" s="6" customFormat="1" ht="15.75" hidden="1" customHeight="1" x14ac:dyDescent="0.25">
      <c r="A78" s="5"/>
      <c r="B78" s="5"/>
      <c r="C78" s="5"/>
      <c r="D78" s="5"/>
      <c r="E78" s="5"/>
      <c r="F78" s="5"/>
      <c r="G78" s="5"/>
      <c r="H78" s="5"/>
      <c r="I78" s="137" t="s">
        <v>89</v>
      </c>
      <c r="J78" s="1" t="s">
        <v>90</v>
      </c>
      <c r="K78" s="1">
        <f ca="1">SUMIF($N$4:$O$72,I78,$O$4:$O$72)</f>
        <v>0</v>
      </c>
      <c r="L78" s="5"/>
      <c r="M78" s="5"/>
    </row>
    <row r="79" spans="1:15" s="6" customFormat="1" ht="15.75" hidden="1" customHeight="1" x14ac:dyDescent="0.25">
      <c r="A79" s="5"/>
      <c r="B79" s="5"/>
      <c r="C79" s="5"/>
      <c r="D79" s="5"/>
      <c r="E79" s="5"/>
      <c r="F79" s="5"/>
      <c r="G79" s="5"/>
      <c r="H79" s="5"/>
      <c r="I79" s="137" t="s">
        <v>91</v>
      </c>
      <c r="J79" s="1" t="s">
        <v>92</v>
      </c>
      <c r="K79" s="1">
        <f ca="1">SUMIF($N$4:$O$72,I79,$O$4:$O$72)</f>
        <v>0</v>
      </c>
      <c r="L79" s="5"/>
      <c r="M79" s="5"/>
    </row>
    <row r="80" spans="1:15" s="6" customFormat="1" ht="15.75" hidden="1" customHeight="1" x14ac:dyDescent="0.25">
      <c r="A80" s="5"/>
      <c r="B80" s="5"/>
      <c r="C80" s="5"/>
      <c r="D80" s="5"/>
      <c r="E80" s="5"/>
      <c r="F80" s="5"/>
      <c r="G80" s="5"/>
      <c r="H80" s="5"/>
      <c r="I80" s="137" t="s">
        <v>93</v>
      </c>
      <c r="J80" s="1"/>
      <c r="K80" s="1">
        <f ca="1">SUMIF($N$4:$O$72,I80,$O$4:$O$72)</f>
        <v>0</v>
      </c>
      <c r="L80" s="5"/>
      <c r="M80" s="5"/>
    </row>
    <row r="81" spans="1:13" s="6" customFormat="1" ht="15.75" hidden="1" customHeight="1" x14ac:dyDescent="0.25">
      <c r="A81" s="5"/>
      <c r="B81" s="5"/>
      <c r="C81" s="5"/>
      <c r="D81" s="5"/>
      <c r="E81" s="5"/>
      <c r="F81" s="5"/>
      <c r="G81" s="5"/>
      <c r="H81" s="5"/>
      <c r="I81" s="137" t="s">
        <v>24</v>
      </c>
      <c r="J81" s="1"/>
      <c r="K81" s="1">
        <f ca="1">SUMIF($N$4:$O$72,I81,$O$4:$O$72)</f>
        <v>2</v>
      </c>
      <c r="L81" s="5"/>
      <c r="M81" s="5"/>
    </row>
    <row r="82" spans="1:13" s="6" customFormat="1" ht="15.75" hidden="1" customHeight="1" x14ac:dyDescent="0.25">
      <c r="A82" s="5"/>
      <c r="B82" s="5"/>
      <c r="C82" s="5"/>
      <c r="D82" s="5"/>
      <c r="E82" s="5"/>
      <c r="F82" s="5"/>
      <c r="G82" s="5"/>
      <c r="H82" s="5"/>
      <c r="I82" s="137" t="s">
        <v>94</v>
      </c>
      <c r="J82" s="1"/>
      <c r="K82" s="1">
        <f ca="1">SUMIF($N$4:$O$72,I82,$O$4:$O$72)</f>
        <v>0</v>
      </c>
      <c r="L82" s="5"/>
      <c r="M82" s="5"/>
    </row>
    <row r="83" spans="1:13" ht="15.75" hidden="1" customHeight="1" x14ac:dyDescent="0.25">
      <c r="I83" s="138" t="s">
        <v>29</v>
      </c>
      <c r="J83" s="139"/>
      <c r="K83" s="136">
        <f ca="1">SUMIF($N$4:$O$72,I83,$O$4:$O$72)</f>
        <v>18</v>
      </c>
    </row>
    <row r="84" spans="1:13" s="6" customFormat="1" x14ac:dyDescent="0.25">
      <c r="A84" s="5"/>
      <c r="B84" s="5"/>
      <c r="C84" s="5"/>
      <c r="D84" s="5"/>
      <c r="E84" s="5"/>
      <c r="F84" s="5"/>
      <c r="G84" s="5"/>
      <c r="H84" s="5"/>
      <c r="I84" s="130"/>
      <c r="J84" s="5"/>
      <c r="K84" s="5"/>
      <c r="L84" s="5"/>
      <c r="M84" s="5" t="s">
        <v>95</v>
      </c>
    </row>
    <row r="85" spans="1:13" x14ac:dyDescent="0.25">
      <c r="I85" s="130"/>
    </row>
  </sheetData>
  <mergeCells count="73">
    <mergeCell ref="H63:H65"/>
    <mergeCell ref="F69:F71"/>
    <mergeCell ref="G69:G71"/>
    <mergeCell ref="H69:H70"/>
    <mergeCell ref="A62:A72"/>
    <mergeCell ref="B62:B72"/>
    <mergeCell ref="C62:C72"/>
    <mergeCell ref="D62:D72"/>
    <mergeCell ref="E62:E72"/>
    <mergeCell ref="G63:G66"/>
    <mergeCell ref="G49:G52"/>
    <mergeCell ref="H49:H50"/>
    <mergeCell ref="H51:H52"/>
    <mergeCell ref="G53:G54"/>
    <mergeCell ref="F54:F58"/>
    <mergeCell ref="G55:G58"/>
    <mergeCell ref="H55:H56"/>
    <mergeCell ref="H57:H58"/>
    <mergeCell ref="F44:F46"/>
    <mergeCell ref="G44:G47"/>
    <mergeCell ref="H45:H47"/>
    <mergeCell ref="A49:A61"/>
    <mergeCell ref="B49:B61"/>
    <mergeCell ref="C49:C61"/>
    <mergeCell ref="D49:D61"/>
    <mergeCell ref="E49:E61"/>
    <mergeCell ref="F49:F53"/>
    <mergeCell ref="F36:F40"/>
    <mergeCell ref="G36:G37"/>
    <mergeCell ref="G38:G40"/>
    <mergeCell ref="H38:H39"/>
    <mergeCell ref="F42:F43"/>
    <mergeCell ref="G42:G43"/>
    <mergeCell ref="H28:H29"/>
    <mergeCell ref="F31:F32"/>
    <mergeCell ref="G31:G32"/>
    <mergeCell ref="M32:M33"/>
    <mergeCell ref="G33:G34"/>
    <mergeCell ref="A36:A48"/>
    <mergeCell ref="B36:B48"/>
    <mergeCell ref="C36:C48"/>
    <mergeCell ref="D36:D48"/>
    <mergeCell ref="E36:E48"/>
    <mergeCell ref="H18:H19"/>
    <mergeCell ref="G20:G21"/>
    <mergeCell ref="A25:A35"/>
    <mergeCell ref="B25:B35"/>
    <mergeCell ref="C25:C35"/>
    <mergeCell ref="D25:D35"/>
    <mergeCell ref="E25:E35"/>
    <mergeCell ref="F25:F30"/>
    <mergeCell ref="G26:G29"/>
    <mergeCell ref="H26:H27"/>
    <mergeCell ref="F8:F9"/>
    <mergeCell ref="G8:G9"/>
    <mergeCell ref="G11:G12"/>
    <mergeCell ref="A15:A24"/>
    <mergeCell ref="B15:B24"/>
    <mergeCell ref="C15:C24"/>
    <mergeCell ref="D15:D24"/>
    <mergeCell ref="E15:E24"/>
    <mergeCell ref="G15:G16"/>
    <mergeCell ref="G17:G19"/>
    <mergeCell ref="B1:I1"/>
    <mergeCell ref="A4:A14"/>
    <mergeCell ref="B4:B14"/>
    <mergeCell ref="C4:C14"/>
    <mergeCell ref="D4:D14"/>
    <mergeCell ref="E4:E14"/>
    <mergeCell ref="F4:F7"/>
    <mergeCell ref="G4:G7"/>
    <mergeCell ref="H4:H5"/>
    <mergeCell ref="H6:H7"/>
  </mergeCells>
  <pageMargins left="0.7" right="0.7" top="0.75" bottom="0.75" header="0.3" footer="0.3"/>
  <pageSetup paperSize="9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Minh Hieu</dc:creator>
  <cp:lastModifiedBy>Do Minh Hieu</cp:lastModifiedBy>
  <cp:lastPrinted>2018-06-21T09:47:14Z</cp:lastPrinted>
  <dcterms:created xsi:type="dcterms:W3CDTF">2018-06-21T09:04:40Z</dcterms:created>
  <dcterms:modified xsi:type="dcterms:W3CDTF">2018-06-21T09:47:16Z</dcterms:modified>
</cp:coreProperties>
</file>